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equipamentos" sheetId="1" r:id="rId5"/>
    <sheet state="visible" name="Mapa de localização" sheetId="2" r:id="rId6"/>
    <sheet state="visible" name="Topologia" sheetId="3" r:id="rId7"/>
    <sheet state="visible" name="Cobertura Wi-Fi 2,4G" sheetId="4" r:id="rId8"/>
    <sheet state="visible" name="Cobertura Wi-Fi 5G" sheetId="5" r:id="rId9"/>
    <sheet state="visible" name="Cobertura Wi-Fi 6G" sheetId="6" r:id="rId10"/>
    <sheet state="visible" name="Diagrama de cablagem" sheetId="7" r:id="rId11"/>
  </sheets>
  <definedNames/>
  <calcPr/>
</workbook>
</file>

<file path=xl/sharedStrings.xml><?xml version="1.0" encoding="utf-8"?>
<sst xmlns="http://schemas.openxmlformats.org/spreadsheetml/2006/main" count="174" uniqueCount="88">
  <si>
    <r>
      <rPr>
        <rFont val="Times New Roman Light"/>
        <b/>
        <color rgb="FF000000"/>
        <sz val="12.0"/>
      </rPr>
      <t xml:space="preserve">Planta Baixa para ANTUR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01/30/2026</t>
    </r>
  </si>
  <si>
    <t/>
  </si>
  <si>
    <t>Tipo</t>
  </si>
  <si>
    <t>TIPO DISPOSITIVO</t>
  </si>
  <si>
    <t xml:space="preserve">Ata vigente ID DE CONTRATAÇÃO                                                                                                </t>
  </si>
  <si>
    <t>Descrição</t>
  </si>
  <si>
    <t>Marca</t>
  </si>
  <si>
    <t>Quantidade</t>
  </si>
  <si>
    <t>Preço unitário</t>
  </si>
  <si>
    <t>Desconto</t>
  </si>
  <si>
    <t>Preço total</t>
  </si>
  <si>
    <t>Gestão de Rede</t>
  </si>
  <si>
    <t>Controladora Wireless Virtual</t>
  </si>
  <si>
    <t>UNILAB 45/2025	12397930000100-1-000021/2025</t>
  </si>
  <si>
    <t>1</t>
  </si>
  <si>
    <t>A definir em Ata</t>
  </si>
  <si>
    <t>0.00%</t>
  </si>
  <si>
    <t>Rede Sem Fio</t>
  </si>
  <si>
    <t>Ponto de Acesso Wi-Fi 6 Indoor Tipo 1 (Item 12)</t>
  </si>
  <si>
    <t>Licenciamento</t>
  </si>
  <si>
    <t>Licença de AP para Controladora (Item 16)</t>
  </si>
  <si>
    <t>5</t>
  </si>
  <si>
    <t>Comutação</t>
  </si>
  <si>
    <t>Switch POE 24 Portas Gerenciável (Item 02)</t>
  </si>
  <si>
    <t>UNILAB 44 /202512397930000100-1-000021/2025</t>
  </si>
  <si>
    <t>Conectividade</t>
  </si>
  <si>
    <t>Cabo DAC 10Gbps para interligação (Item 05)</t>
  </si>
  <si>
    <t>62 m (204 ft)</t>
  </si>
  <si>
    <t>Transmissão</t>
  </si>
  <si>
    <t>Módulo Transceiver 10G SFP+ (Item 08)</t>
  </si>
  <si>
    <t>14 m (46 ft)</t>
  </si>
  <si>
    <t>Energia</t>
  </si>
  <si>
    <t>Nobreak Senoidal 2000VA / 1400W (Item 03)</t>
  </si>
  <si>
    <t>CRT-RN 04/202532752798000114-1-000028/2025</t>
  </si>
  <si>
    <t>15 m (46 ft)</t>
  </si>
  <si>
    <t>Intelbras</t>
  </si>
  <si>
    <t>Alojamento</t>
  </si>
  <si>
    <t>Rack 19" x 12U (Alt) x 580mm Parede (Item 131)</t>
  </si>
  <si>
    <t>SEPLAG-MG 264/202505461142000170-1-000168/2024-000001</t>
  </si>
  <si>
    <t>16 m (46 ft)</t>
  </si>
  <si>
    <t>ELLOS</t>
  </si>
  <si>
    <t>Execução de Ponto de Rede CAT. 6 instalado (Item 01 - Ata III)</t>
  </si>
  <si>
    <t>17 m (46 ft)</t>
  </si>
  <si>
    <t>N/A</t>
  </si>
  <si>
    <t>Cabeamento</t>
  </si>
  <si>
    <t>Patch Panel 24 Portas CAT.6 (Item 18 - Ata III)</t>
  </si>
  <si>
    <t>18 m (46 ft)</t>
  </si>
  <si>
    <t>Patch-Cord RJ-45 CAT6 2.5 metros (Item 56)</t>
  </si>
  <si>
    <t>19 m (46 ft)</t>
  </si>
  <si>
    <t>Total :</t>
  </si>
  <si>
    <r>
      <rPr>
        <rFont val="Times New Roman Light"/>
        <b/>
        <color rgb="FF000000"/>
        <sz val="12.0"/>
      </rPr>
      <t xml:space="preserve">Planta Baixa para ANTUR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01/30/2026</t>
    </r>
  </si>
  <si>
    <t>Antur - Grupo de Pesquisa</t>
  </si>
  <si>
    <t>Antur - Grupo de Pesquisa Mapa de localização</t>
  </si>
  <si>
    <t>Antur - Grupo de Pesquisa Lista de dispositivos</t>
  </si>
  <si>
    <t>AP</t>
  </si>
  <si>
    <t>Nome do dispositivo</t>
  </si>
  <si>
    <t>Modelo</t>
  </si>
  <si>
    <t>Montagem</t>
  </si>
  <si>
    <t>Altura</t>
  </si>
  <si>
    <t>Ângulo</t>
  </si>
  <si>
    <t>Canal (2,4 GHz/5 GHz/6 GHz)</t>
  </si>
  <si>
    <t>Potência (2,4 GHz/5 GHz/6 GHz)</t>
  </si>
  <si>
    <t xml:space="preserve"> (1)</t>
  </si>
  <si>
    <t>EAP653</t>
  </si>
  <si>
    <t>Suporte de Teto</t>
  </si>
  <si>
    <t>3.0 m</t>
  </si>
  <si>
    <t>--</t>
  </si>
  <si>
    <t>1/36/-</t>
  </si>
  <si>
    <t>20 dBm/23 dBm/-</t>
  </si>
  <si>
    <t xml:space="preserve"> (2)</t>
  </si>
  <si>
    <t xml:space="preserve"> (3)</t>
  </si>
  <si>
    <t xml:space="preserve"> (4)</t>
  </si>
  <si>
    <t xml:space="preserve"> (5)</t>
  </si>
  <si>
    <t>Outros</t>
  </si>
  <si>
    <t>Categoria</t>
  </si>
  <si>
    <t>ER7206</t>
  </si>
  <si>
    <t>Gateway</t>
  </si>
  <si>
    <t>SG3428XPP-M2</t>
  </si>
  <si>
    <t>Switch</t>
  </si>
  <si>
    <t>OC300</t>
  </si>
  <si>
    <t>Controller</t>
  </si>
  <si>
    <r>
      <rPr>
        <rFont val="Times New Roman Light"/>
        <b/>
        <color rgb="FF000000"/>
        <sz val="12.0"/>
      </rPr>
      <t xml:space="preserve">Planta Baixa para ANTUR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01/30/2026</t>
    </r>
  </si>
  <si>
    <t>Acesse o link a seguir (válido por 7 dias) para obter uma topologia mais detalhada:</t>
  </si>
  <si>
    <r>
      <rPr>
        <rFont val="manrope"/>
        <color rgb="FF0000FF"/>
        <sz val="12.0"/>
        <u/>
      </rPr>
      <t>https://use1-design.tplinkcloud.com/#/share/topology/019bfafa-459d-73ae-93ed-0bd29d185289</t>
    </r>
  </si>
  <si>
    <r>
      <rPr>
        <rFont val="Times New Roman Light"/>
        <b/>
        <color rgb="FF000000"/>
        <sz val="12.0"/>
      </rPr>
      <t xml:space="preserve">Planta Baixa para ANTUR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01/30/2026</t>
    </r>
  </si>
  <si>
    <r>
      <rPr>
        <rFont val="Times New Roman Light"/>
        <b/>
        <color rgb="FF000000"/>
        <sz val="12.0"/>
      </rPr>
      <t xml:space="preserve">Planta Baixa para ANTUR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01/30/2026</t>
    </r>
  </si>
  <si>
    <r>
      <rPr>
        <rFont val="Times New Roman Light"/>
        <b/>
        <color rgb="FF000000"/>
        <sz val="12.0"/>
      </rPr>
      <t xml:space="preserve">Planta Baixa para ANTUR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01/30/2026</t>
    </r>
  </si>
  <si>
    <r>
      <rPr>
        <rFont val="Times New Roman Light"/>
        <b/>
        <color rgb="FF000000"/>
        <sz val="12.0"/>
      </rPr>
      <t xml:space="preserve">Planta Baixa para ANTUR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01/30/2026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</si>
</sst>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sz val="11.0"/>
      <color rgb="FF000000"/>
      <name val="Calibri"/>
    </font>
    <font>
      <sz val="8.0"/>
      <color theme="1"/>
      <name val="Manrope"/>
    </font>
    <font/>
    <font>
      <color theme="1"/>
      <name val="Calibri"/>
      <scheme val="minor"/>
    </font>
    <font>
      <sz val="10.0"/>
      <color theme="1"/>
      <name val="Calibri"/>
      <scheme val="minor"/>
    </font>
    <font>
      <sz val="12.0"/>
      <color theme="1"/>
      <name val="Manrope"/>
    </font>
    <font>
      <sz val="16.0"/>
      <color theme="1"/>
      <name val="Manrope"/>
    </font>
    <font>
      <sz val="14.0"/>
      <color theme="1"/>
      <name val="Manrope"/>
    </font>
    <font>
      <sz val="11.0"/>
      <color theme="1"/>
      <name val="Manrope"/>
    </font>
    <font>
      <u/>
      <sz val="12.0"/>
      <color rgb="FF0000FF"/>
      <name val="Manrope"/>
    </font>
  </fonts>
  <fills count="4">
    <fill>
      <patternFill patternType="none"/>
    </fill>
    <fill>
      <patternFill patternType="lightGray"/>
    </fill>
    <fill>
      <patternFill patternType="solid">
        <fgColor rgb="FFE1F5E1"/>
        <bgColor rgb="FFE1F5E1"/>
      </patternFill>
    </fill>
    <fill>
      <patternFill patternType="solid">
        <fgColor rgb="FFC3D7C3"/>
        <bgColor rgb="FFC3D7C3"/>
      </patternFill>
    </fill>
  </fills>
  <borders count="19">
    <border/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bottom style="thin">
        <color rgb="FF000000"/>
      </bottom>
    </border>
    <border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left" vertical="center"/>
    </xf>
    <xf borderId="3" fillId="2" fontId="2" numFmtId="0" xfId="0" applyAlignment="1" applyBorder="1" applyFont="1">
      <alignment horizontal="left" readingOrder="0" vertical="center"/>
    </xf>
    <xf borderId="4" fillId="2" fontId="2" numFmtId="0" xfId="0" applyAlignment="1" applyBorder="1" applyFont="1">
      <alignment horizontal="left" readingOrder="0" vertical="center"/>
    </xf>
    <xf borderId="5" fillId="2" fontId="2" numFmtId="0" xfId="0" applyAlignment="1" applyBorder="1" applyFont="1">
      <alignment horizontal="left" readingOrder="0" vertical="center"/>
    </xf>
    <xf borderId="2" fillId="2" fontId="2" numFmtId="0" xfId="0" applyAlignment="1" applyBorder="1" applyFont="1">
      <alignment horizontal="left" readingOrder="0" vertical="center"/>
    </xf>
    <xf borderId="2" fillId="2" fontId="2" numFmtId="0" xfId="0" applyAlignment="1" applyBorder="1" applyFont="1">
      <alignment horizontal="right" vertical="center"/>
    </xf>
    <xf borderId="6" fillId="2" fontId="2" numFmtId="0" xfId="0" applyAlignment="1" applyBorder="1" applyFont="1">
      <alignment horizontal="right" vertical="center"/>
    </xf>
    <xf borderId="4" fillId="0" fontId="1" numFmtId="0" xfId="0" applyBorder="1" applyFont="1"/>
    <xf borderId="7" fillId="0" fontId="2" numFmtId="0" xfId="0" applyAlignment="1" applyBorder="1" applyFont="1">
      <alignment horizontal="left" readingOrder="0" shrinkToFit="0" vertical="center" wrapText="1"/>
    </xf>
    <xf borderId="8" fillId="0" fontId="3" numFmtId="0" xfId="0" applyBorder="1" applyFont="1"/>
    <xf borderId="4" fillId="0" fontId="4" numFmtId="0" xfId="0" applyAlignment="1" applyBorder="1" applyFont="1">
      <alignment readingOrder="0"/>
    </xf>
    <xf borderId="4" fillId="0" fontId="2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readingOrder="0"/>
    </xf>
    <xf borderId="4" fillId="0" fontId="4" numFmtId="4" xfId="0" applyAlignment="1" applyBorder="1" applyFont="1" applyNumberFormat="1">
      <alignment readingOrder="0"/>
    </xf>
    <xf borderId="4" fillId="0" fontId="2" numFmtId="0" xfId="0" applyAlignment="1" applyBorder="1" applyFont="1">
      <alignment horizontal="right" shrinkToFit="0" vertical="center" wrapText="1"/>
    </xf>
    <xf borderId="9" fillId="0" fontId="1" numFmtId="0" xfId="0" applyBorder="1" applyFont="1"/>
    <xf borderId="10" fillId="0" fontId="2" numFmtId="0" xfId="0" applyAlignment="1" applyBorder="1" applyFont="1">
      <alignment horizontal="left" readingOrder="0" shrinkToFit="0" vertical="center" wrapText="1"/>
    </xf>
    <xf borderId="11" fillId="0" fontId="3" numFmtId="0" xfId="0" applyBorder="1" applyFont="1"/>
    <xf borderId="9" fillId="0" fontId="4" numFmtId="0" xfId="0" applyAlignment="1" applyBorder="1" applyFont="1">
      <alignment readingOrder="0"/>
    </xf>
    <xf borderId="9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left" readingOrder="0" shrinkToFit="0" vertical="center" wrapText="1"/>
    </xf>
    <xf borderId="0" fillId="0" fontId="4" numFmtId="4" xfId="0" applyAlignment="1" applyFont="1" applyNumberFormat="1">
      <alignment readingOrder="0"/>
    </xf>
    <xf borderId="9" fillId="0" fontId="2" numFmtId="0" xfId="0" applyAlignment="1" applyBorder="1" applyFont="1">
      <alignment horizontal="right" shrinkToFit="0" vertical="center" wrapText="1"/>
    </xf>
    <xf borderId="9" fillId="0" fontId="2" numFmtId="0" xfId="0" applyAlignment="1" applyBorder="1" applyFont="1">
      <alignment horizontal="right" readingOrder="0" shrinkToFit="0" vertical="center" wrapText="1"/>
    </xf>
    <xf borderId="9" fillId="0" fontId="2" numFmtId="0" xfId="0" applyAlignment="1" applyBorder="1" applyFont="1">
      <alignment horizontal="right" vertical="center"/>
    </xf>
    <xf borderId="12" fillId="0" fontId="4" numFmtId="0" xfId="0" applyAlignment="1" applyBorder="1" applyFont="1">
      <alignment readingOrder="0"/>
    </xf>
    <xf borderId="12" fillId="0" fontId="3" numFmtId="0" xfId="0" applyBorder="1" applyFont="1"/>
    <xf borderId="12" fillId="0" fontId="4" numFmtId="0" xfId="0" applyBorder="1" applyFont="1"/>
    <xf borderId="12" fillId="0" fontId="2" numFmtId="0" xfId="0" applyAlignment="1" applyBorder="1" applyFont="1">
      <alignment horizontal="right" vertical="center"/>
    </xf>
    <xf borderId="12" fillId="0" fontId="5" numFmtId="0" xfId="0" applyAlignment="1" applyBorder="1" applyFont="1">
      <alignment horizontal="right" vertical="center"/>
    </xf>
    <xf borderId="0" fillId="0" fontId="6" numFmtId="0" xfId="0" applyAlignment="1" applyFont="1">
      <alignment horizontal="right" shrinkToFit="0" vertical="center" wrapText="1"/>
    </xf>
    <xf borderId="0" fillId="0" fontId="6" numFmtId="0" xfId="0" applyAlignment="1" applyFont="1">
      <alignment horizontal="center" vertical="center"/>
    </xf>
    <xf borderId="0" fillId="0" fontId="2" numFmtId="0" xfId="0" applyAlignment="1" applyFont="1">
      <alignment horizontal="right" vertical="center"/>
    </xf>
    <xf borderId="0" fillId="0" fontId="7" numFmtId="0" xfId="0" applyAlignment="1" applyFont="1">
      <alignment horizontal="right" shrinkToFit="0" vertical="center" wrapText="1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13" fillId="3" fontId="1" numFmtId="0" xfId="0" applyAlignment="1" applyBorder="1" applyFill="1" applyFont="1">
      <alignment vertical="center"/>
    </xf>
    <xf borderId="14" fillId="3" fontId="2" numFmtId="0" xfId="0" applyAlignment="1" applyBorder="1" applyFont="1">
      <alignment horizontal="left" vertical="center"/>
    </xf>
    <xf borderId="15" fillId="0" fontId="3" numFmtId="0" xfId="0" applyBorder="1" applyFont="1"/>
    <xf borderId="16" fillId="0" fontId="3" numFmtId="0" xfId="0" applyBorder="1" applyFont="1"/>
    <xf borderId="13" fillId="2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horizontal="left" shrinkToFit="0" vertical="center" wrapText="1"/>
    </xf>
    <xf borderId="17" fillId="0" fontId="1" numFmtId="0" xfId="0" applyBorder="1" applyFont="1"/>
    <xf borderId="14" fillId="2" fontId="2" numFmtId="0" xfId="0" applyAlignment="1" applyBorder="1" applyFont="1">
      <alignment horizontal="left" vertical="center"/>
    </xf>
    <xf borderId="17" fillId="0" fontId="3" numFmtId="0" xfId="0" applyBorder="1" applyFont="1"/>
    <xf borderId="18" fillId="0" fontId="6" numFmtId="0" xfId="0" applyAlignment="1" applyBorder="1" applyFont="1">
      <alignment horizontal="left" shrinkToFit="0" vertical="center" wrapText="1"/>
    </xf>
    <xf borderId="18" fillId="0" fontId="3" numFmtId="0" xfId="0" applyBorder="1" applyFont="1"/>
    <xf borderId="18" fillId="0" fontId="10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4.png"/><Relationship Id="rId6" Type="http://schemas.openxmlformats.org/officeDocument/2006/relationships/image" Target="../media/image7.png"/><Relationship Id="rId7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jpg"/><Relationship Id="rId3" Type="http://schemas.openxmlformats.org/officeDocument/2006/relationships/image" Target="../media/image2.png"/><Relationship Id="rId4" Type="http://schemas.openxmlformats.org/officeDocument/2006/relationships/image" Target="../media/image6.png"/><Relationship Id="rId5" Type="http://schemas.openxmlformats.org/officeDocument/2006/relationships/image" Target="../media/image5.png"/><Relationship Id="rId6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jpg"/><Relationship Id="rId3" Type="http://schemas.openxmlformats.org/officeDocument/2006/relationships/image" Target="../media/image1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jpg"/><Relationship Id="rId3" Type="http://schemas.openxmlformats.org/officeDocument/2006/relationships/image" Target="../media/image14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jpg"/><Relationship Id="rId3" Type="http://schemas.openxmlformats.org/officeDocument/2006/relationships/image" Target="../media/image15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jpg"/><Relationship Id="rId3" Type="http://schemas.openxmlformats.org/officeDocument/2006/relationships/image" Target="../media/image16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jpg"/><Relationship Id="rId3" Type="http://schemas.openxmlformats.org/officeDocument/2006/relationships/image" Target="../media/image1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552450" cy="55245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552450" cy="55245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552450" cy="5524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552450" cy="552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552450" cy="55245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552450" cy="55245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552450" cy="55245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95275" cy="29527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57175" cy="25717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5362575" cy="4467225"/>
    <xdr:pic>
      <xdr:nvPicPr>
        <xdr:cNvPr descr="Picture" id="0" name="image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552450" cy="5524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552450" cy="5524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552450" cy="5524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52450" cy="5524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552450" cy="5524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552450" cy="55245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552450" cy="552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552450" cy="55245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3067050" cy="3810000"/>
    <xdr:pic>
      <xdr:nvPicPr>
        <xdr:cNvPr descr="Picture" id="0" name="image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3002875" cy="10734675"/>
    <xdr:pic>
      <xdr:nvPicPr>
        <xdr:cNvPr descr="Picture"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533900" cy="3924300"/>
    <xdr:pic>
      <xdr:nvPicPr>
        <xdr:cNvPr descr="Picture" id="0" name="image1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324100" cy="1552575"/>
    <xdr:pic>
      <xdr:nvPicPr>
        <xdr:cNvPr descr="Picture" id="0" name="image1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533900" cy="3924300"/>
    <xdr:pic>
      <xdr:nvPicPr>
        <xdr:cNvPr descr="Picture" id="0" name="image1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324100" cy="1552575"/>
    <xdr:pic>
      <xdr:nvPicPr>
        <xdr:cNvPr descr="Picture" id="0" name="image1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533900" cy="3924300"/>
    <xdr:pic>
      <xdr:nvPicPr>
        <xdr:cNvPr descr="Picture" id="0" name="image1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324100" cy="1552575"/>
    <xdr:pic>
      <xdr:nvPicPr>
        <xdr:cNvPr descr="Picture" id="0" name="image1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2257425" cy="914400"/>
    <xdr:pic>
      <xdr:nvPicPr>
        <xdr:cNvPr descr="Picture" id="0" name="image1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533900" cy="3924300"/>
    <xdr:pic>
      <xdr:nvPicPr>
        <xdr:cNvPr descr="Picture" id="0" name="image1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use1-design.tplinkcloud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8.71"/>
    <col customWidth="1" min="4" max="4" width="13.0"/>
    <col customWidth="1" min="5" max="5" width="8.71"/>
    <col customWidth="1" min="6" max="6" width="26.0"/>
    <col customWidth="1" min="7" max="12" width="8.71"/>
    <col customWidth="1" min="13" max="13" width="16.0"/>
    <col customWidth="1" min="14" max="26" width="8.71"/>
  </cols>
  <sheetData>
    <row r="1" ht="116.25" customHeight="1">
      <c r="A1" s="1"/>
      <c r="D1" s="1"/>
      <c r="F1" s="2" t="s">
        <v>0</v>
      </c>
    </row>
    <row r="2" ht="15.75" customHeight="1">
      <c r="A2" s="3"/>
    </row>
    <row r="3" ht="23.25" customHeight="1">
      <c r="A3" s="4" t="s">
        <v>1</v>
      </c>
      <c r="B3" s="5" t="s">
        <v>1</v>
      </c>
      <c r="C3" s="5" t="s">
        <v>1</v>
      </c>
      <c r="D3" s="5" t="s">
        <v>2</v>
      </c>
      <c r="E3" s="5" t="s">
        <v>1</v>
      </c>
      <c r="F3" s="6" t="s">
        <v>3</v>
      </c>
      <c r="G3" s="7" t="s">
        <v>4</v>
      </c>
      <c r="H3" s="8" t="s">
        <v>5</v>
      </c>
      <c r="I3" s="9" t="s">
        <v>6</v>
      </c>
      <c r="J3" s="9" t="s">
        <v>7</v>
      </c>
      <c r="K3" s="10" t="s">
        <v>8</v>
      </c>
      <c r="L3" s="10" t="s">
        <v>9</v>
      </c>
      <c r="M3" s="11" t="s">
        <v>10</v>
      </c>
    </row>
    <row r="4" ht="43.5" customHeight="1">
      <c r="A4" s="12"/>
      <c r="B4" s="12"/>
      <c r="C4" s="12"/>
      <c r="D4" s="13" t="s">
        <v>11</v>
      </c>
      <c r="E4" s="14"/>
      <c r="F4" s="15" t="s">
        <v>12</v>
      </c>
      <c r="G4" s="15" t="s">
        <v>13</v>
      </c>
      <c r="H4" s="16" t="s">
        <v>14</v>
      </c>
      <c r="I4" s="17" t="s">
        <v>15</v>
      </c>
      <c r="J4" s="16" t="s">
        <v>14</v>
      </c>
      <c r="K4" s="18">
        <v>10000.0</v>
      </c>
      <c r="L4" s="19" t="s">
        <v>16</v>
      </c>
      <c r="M4" s="15">
        <f t="shared" ref="M4:M14" si="1">PRODUCT(J4,K4)</f>
        <v>10000</v>
      </c>
    </row>
    <row r="5" ht="43.5" customHeight="1">
      <c r="A5" s="20"/>
      <c r="B5" s="20"/>
      <c r="C5" s="20"/>
      <c r="D5" s="21" t="s">
        <v>17</v>
      </c>
      <c r="E5" s="22"/>
      <c r="F5" s="17" t="s">
        <v>18</v>
      </c>
      <c r="G5" s="23" t="s">
        <v>13</v>
      </c>
      <c r="H5" s="24" t="s">
        <v>14</v>
      </c>
      <c r="I5" s="17" t="s">
        <v>15</v>
      </c>
      <c r="J5" s="25">
        <v>5.0</v>
      </c>
      <c r="K5" s="26">
        <v>3900.0</v>
      </c>
      <c r="L5" s="27" t="s">
        <v>16</v>
      </c>
      <c r="M5" s="15">
        <f t="shared" si="1"/>
        <v>19500</v>
      </c>
    </row>
    <row r="6" ht="43.5" customHeight="1">
      <c r="A6" s="20"/>
      <c r="B6" s="20"/>
      <c r="C6" s="20"/>
      <c r="D6" s="21" t="s">
        <v>19</v>
      </c>
      <c r="E6" s="22"/>
      <c r="F6" s="17" t="s">
        <v>20</v>
      </c>
      <c r="G6" s="23" t="s">
        <v>13</v>
      </c>
      <c r="H6" s="24" t="s">
        <v>21</v>
      </c>
      <c r="I6" s="17" t="s">
        <v>15</v>
      </c>
      <c r="J6" s="25">
        <v>5.0</v>
      </c>
      <c r="K6" s="17">
        <v>920.0</v>
      </c>
      <c r="L6" s="27" t="s">
        <v>16</v>
      </c>
      <c r="M6" s="15">
        <f t="shared" si="1"/>
        <v>4600</v>
      </c>
    </row>
    <row r="7" ht="43.5" customHeight="1">
      <c r="A7" s="20"/>
      <c r="B7" s="20"/>
      <c r="C7" s="20"/>
      <c r="D7" s="21" t="s">
        <v>22</v>
      </c>
      <c r="E7" s="22"/>
      <c r="F7" s="17" t="s">
        <v>23</v>
      </c>
      <c r="G7" s="23" t="s">
        <v>24</v>
      </c>
      <c r="H7" s="24" t="s">
        <v>14</v>
      </c>
      <c r="I7" s="17" t="s">
        <v>15</v>
      </c>
      <c r="J7" s="24" t="s">
        <v>14</v>
      </c>
      <c r="K7" s="28">
        <v>4000.0</v>
      </c>
      <c r="L7" s="27" t="s">
        <v>16</v>
      </c>
      <c r="M7" s="15">
        <f t="shared" si="1"/>
        <v>4000</v>
      </c>
    </row>
    <row r="8" ht="43.5" customHeight="1">
      <c r="A8" s="20"/>
      <c r="B8" s="20"/>
      <c r="C8" s="20"/>
      <c r="D8" s="17" t="s">
        <v>25</v>
      </c>
      <c r="E8" s="22"/>
      <c r="F8" s="17" t="s">
        <v>26</v>
      </c>
      <c r="G8" s="23" t="s">
        <v>24</v>
      </c>
      <c r="H8" s="24" t="s">
        <v>27</v>
      </c>
      <c r="I8" s="17" t="s">
        <v>15</v>
      </c>
      <c r="J8" s="25">
        <v>2.0</v>
      </c>
      <c r="K8" s="28">
        <v>270.0</v>
      </c>
      <c r="L8" s="27" t="s">
        <v>16</v>
      </c>
      <c r="M8" s="15">
        <f t="shared" si="1"/>
        <v>540</v>
      </c>
    </row>
    <row r="9" ht="43.5" customHeight="1">
      <c r="A9" s="20"/>
      <c r="B9" s="20"/>
      <c r="C9" s="20"/>
      <c r="D9" s="21" t="s">
        <v>28</v>
      </c>
      <c r="E9" s="22"/>
      <c r="F9" s="17" t="s">
        <v>29</v>
      </c>
      <c r="G9" s="23" t="s">
        <v>24</v>
      </c>
      <c r="H9" s="24" t="s">
        <v>30</v>
      </c>
      <c r="I9" s="17" t="s">
        <v>15</v>
      </c>
      <c r="J9" s="25">
        <v>2.0</v>
      </c>
      <c r="K9" s="28">
        <v>110.0</v>
      </c>
      <c r="L9" s="27" t="s">
        <v>16</v>
      </c>
      <c r="M9" s="15">
        <f t="shared" si="1"/>
        <v>220</v>
      </c>
    </row>
    <row r="10" ht="43.5" customHeight="1">
      <c r="A10" s="20"/>
      <c r="B10" s="20"/>
      <c r="C10" s="20"/>
      <c r="D10" s="21" t="s">
        <v>31</v>
      </c>
      <c r="E10" s="22"/>
      <c r="F10" s="17" t="s">
        <v>32</v>
      </c>
      <c r="G10" s="23" t="s">
        <v>33</v>
      </c>
      <c r="H10" s="24" t="s">
        <v>34</v>
      </c>
      <c r="I10" s="25" t="s">
        <v>35</v>
      </c>
      <c r="J10" s="25">
        <v>1.0</v>
      </c>
      <c r="K10" s="28">
        <v>5400.0</v>
      </c>
      <c r="L10" s="27" t="s">
        <v>16</v>
      </c>
      <c r="M10" s="15">
        <f t="shared" si="1"/>
        <v>5400</v>
      </c>
    </row>
    <row r="11" ht="43.5" customHeight="1">
      <c r="A11" s="20"/>
      <c r="B11" s="20"/>
      <c r="C11" s="20"/>
      <c r="D11" s="21" t="s">
        <v>36</v>
      </c>
      <c r="E11" s="22"/>
      <c r="F11" s="17" t="s">
        <v>37</v>
      </c>
      <c r="G11" s="23" t="s">
        <v>38</v>
      </c>
      <c r="H11" s="24" t="s">
        <v>39</v>
      </c>
      <c r="I11" s="25" t="s">
        <v>40</v>
      </c>
      <c r="J11" s="25">
        <v>1.0</v>
      </c>
      <c r="K11" s="28">
        <v>1044.85</v>
      </c>
      <c r="L11" s="27" t="s">
        <v>16</v>
      </c>
      <c r="M11" s="15">
        <f t="shared" si="1"/>
        <v>1044.85</v>
      </c>
    </row>
    <row r="12" ht="43.5" customHeight="1">
      <c r="A12" s="20"/>
      <c r="B12" s="20"/>
      <c r="C12" s="20"/>
      <c r="D12" s="17" t="s">
        <v>25</v>
      </c>
      <c r="E12" s="22"/>
      <c r="F12" s="17" t="s">
        <v>41</v>
      </c>
      <c r="G12" s="23" t="s">
        <v>38</v>
      </c>
      <c r="H12" s="24" t="s">
        <v>42</v>
      </c>
      <c r="I12" s="25" t="s">
        <v>43</v>
      </c>
      <c r="J12" s="25">
        <v>12.0</v>
      </c>
      <c r="K12" s="28">
        <v>154.17</v>
      </c>
      <c r="L12" s="27" t="s">
        <v>16</v>
      </c>
      <c r="M12" s="15">
        <f t="shared" si="1"/>
        <v>1850.04</v>
      </c>
    </row>
    <row r="13" ht="23.25" customHeight="1">
      <c r="A13" s="29"/>
      <c r="B13" s="20"/>
      <c r="C13" s="20"/>
      <c r="D13" s="17" t="s">
        <v>44</v>
      </c>
      <c r="E13" s="22"/>
      <c r="F13" s="17" t="s">
        <v>45</v>
      </c>
      <c r="G13" s="23" t="s">
        <v>38</v>
      </c>
      <c r="H13" s="24" t="s">
        <v>46</v>
      </c>
      <c r="I13" s="25" t="s">
        <v>43</v>
      </c>
      <c r="J13" s="25">
        <v>1.0</v>
      </c>
      <c r="K13" s="28">
        <v>569.01</v>
      </c>
      <c r="L13" s="27" t="s">
        <v>16</v>
      </c>
      <c r="M13" s="15">
        <f t="shared" si="1"/>
        <v>569.01</v>
      </c>
    </row>
    <row r="14" ht="20.25" customHeight="1">
      <c r="A14" s="20"/>
      <c r="B14" s="20"/>
      <c r="C14" s="20"/>
      <c r="D14" s="17" t="s">
        <v>44</v>
      </c>
      <c r="E14" s="22"/>
      <c r="F14" s="17" t="s">
        <v>47</v>
      </c>
      <c r="G14" s="23" t="s">
        <v>38</v>
      </c>
      <c r="H14" s="24" t="s">
        <v>48</v>
      </c>
      <c r="I14" s="25" t="s">
        <v>43</v>
      </c>
      <c r="J14" s="25">
        <v>10.0</v>
      </c>
      <c r="K14" s="28">
        <v>67.82</v>
      </c>
      <c r="L14" s="27" t="s">
        <v>16</v>
      </c>
      <c r="M14" s="15">
        <f t="shared" si="1"/>
        <v>678.2</v>
      </c>
    </row>
    <row r="15" ht="23.25" customHeight="1">
      <c r="A15" s="30" t="s">
        <v>49</v>
      </c>
      <c r="B15" s="31"/>
      <c r="C15" s="31"/>
      <c r="D15" s="32"/>
      <c r="E15" s="31"/>
      <c r="F15" s="32"/>
      <c r="G15" s="32"/>
      <c r="H15" s="32"/>
      <c r="I15" s="33"/>
      <c r="J15" s="32"/>
      <c r="K15" s="33"/>
      <c r="L15" s="32"/>
      <c r="M15" s="34">
        <f>SUM(M4:M14)</f>
        <v>48402.1</v>
      </c>
    </row>
    <row r="16" ht="29.25" customHeight="1">
      <c r="I16" s="35"/>
      <c r="J16" s="36"/>
      <c r="K16" s="35"/>
      <c r="L16" s="36"/>
      <c r="M16" s="35"/>
    </row>
    <row r="17" ht="34.5" customHeight="1">
      <c r="A17" s="37"/>
      <c r="M17" s="38"/>
    </row>
    <row r="18" ht="20.25" customHeight="1">
      <c r="A18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C1"/>
    <mergeCell ref="D1:E1"/>
    <mergeCell ref="F1:M1"/>
    <mergeCell ref="A2:M2"/>
    <mergeCell ref="D4:E4"/>
    <mergeCell ref="D5:E5"/>
    <mergeCell ref="D6:E6"/>
    <mergeCell ref="D14:E14"/>
    <mergeCell ref="A15:C15"/>
    <mergeCell ref="D15:E15"/>
    <mergeCell ref="A17:L17"/>
    <mergeCell ref="A18:M18"/>
    <mergeCell ref="D7:E7"/>
    <mergeCell ref="D8:E8"/>
    <mergeCell ref="D9:E9"/>
    <mergeCell ref="D10:E10"/>
    <mergeCell ref="D11:E11"/>
    <mergeCell ref="D12:E12"/>
    <mergeCell ref="D13:E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8.71"/>
    <col customWidth="1" min="4" max="4" width="18.0"/>
    <col customWidth="1" min="5" max="8" width="8.71"/>
    <col customWidth="1" min="9" max="10" width="23.0"/>
    <col customWidth="1" min="11" max="26" width="8.71"/>
  </cols>
  <sheetData>
    <row r="1" ht="116.25" customHeight="1">
      <c r="A1" s="1"/>
      <c r="F1" s="2" t="s">
        <v>50</v>
      </c>
    </row>
    <row r="2" ht="14.25" customHeight="1">
      <c r="A2" s="1" t="s">
        <v>1</v>
      </c>
    </row>
    <row r="3" ht="36.75" customHeight="1">
      <c r="A3" s="39" t="s">
        <v>51</v>
      </c>
    </row>
    <row r="4" ht="28.5" customHeight="1">
      <c r="A4" s="40" t="s">
        <v>52</v>
      </c>
    </row>
    <row r="5" ht="351.75" customHeight="1">
      <c r="A5" s="1"/>
    </row>
    <row r="6" ht="14.25" customHeight="1">
      <c r="A6" s="1" t="s">
        <v>1</v>
      </c>
    </row>
    <row r="7" ht="28.5" customHeight="1">
      <c r="A7" s="40" t="s">
        <v>53</v>
      </c>
    </row>
    <row r="8" ht="17.25" customHeight="1">
      <c r="A8" s="41"/>
      <c r="B8" s="42" t="s">
        <v>54</v>
      </c>
      <c r="C8" s="43"/>
      <c r="D8" s="43"/>
      <c r="E8" s="43"/>
      <c r="F8" s="43"/>
      <c r="G8" s="43"/>
      <c r="H8" s="43"/>
      <c r="I8" s="43"/>
      <c r="J8" s="44"/>
    </row>
    <row r="9" ht="23.25" customHeight="1">
      <c r="A9" s="45"/>
      <c r="B9" s="45"/>
      <c r="C9" s="45"/>
      <c r="D9" s="45" t="s">
        <v>55</v>
      </c>
      <c r="E9" s="45" t="s">
        <v>56</v>
      </c>
      <c r="F9" s="45" t="s">
        <v>57</v>
      </c>
      <c r="G9" s="45" t="s">
        <v>58</v>
      </c>
      <c r="H9" s="45" t="s">
        <v>59</v>
      </c>
      <c r="I9" s="45" t="s">
        <v>60</v>
      </c>
      <c r="J9" s="45" t="s">
        <v>61</v>
      </c>
    </row>
    <row r="10" ht="43.5" customHeight="1">
      <c r="A10" s="46" t="s">
        <v>62</v>
      </c>
      <c r="B10" s="47"/>
      <c r="C10" s="47"/>
      <c r="D10" s="46" t="s">
        <v>63</v>
      </c>
      <c r="E10" s="46" t="s">
        <v>63</v>
      </c>
      <c r="F10" s="46" t="s">
        <v>64</v>
      </c>
      <c r="G10" s="46" t="s">
        <v>65</v>
      </c>
      <c r="H10" s="46" t="s">
        <v>66</v>
      </c>
      <c r="I10" s="46" t="s">
        <v>67</v>
      </c>
      <c r="J10" s="46" t="s">
        <v>68</v>
      </c>
    </row>
    <row r="11" ht="43.5" customHeight="1">
      <c r="A11" s="46" t="s">
        <v>69</v>
      </c>
      <c r="B11" s="47"/>
      <c r="C11" s="47"/>
      <c r="D11" s="46" t="s">
        <v>63</v>
      </c>
      <c r="E11" s="46" t="s">
        <v>63</v>
      </c>
      <c r="F11" s="46" t="s">
        <v>64</v>
      </c>
      <c r="G11" s="46" t="s">
        <v>65</v>
      </c>
      <c r="H11" s="46" t="s">
        <v>66</v>
      </c>
      <c r="I11" s="46" t="s">
        <v>67</v>
      </c>
      <c r="J11" s="46" t="s">
        <v>68</v>
      </c>
    </row>
    <row r="12" ht="43.5" customHeight="1">
      <c r="A12" s="46" t="s">
        <v>70</v>
      </c>
      <c r="B12" s="47"/>
      <c r="C12" s="47"/>
      <c r="D12" s="46" t="s">
        <v>63</v>
      </c>
      <c r="E12" s="46" t="s">
        <v>63</v>
      </c>
      <c r="F12" s="46" t="s">
        <v>64</v>
      </c>
      <c r="G12" s="46" t="s">
        <v>65</v>
      </c>
      <c r="H12" s="46" t="s">
        <v>66</v>
      </c>
      <c r="I12" s="46" t="s">
        <v>67</v>
      </c>
      <c r="J12" s="46" t="s">
        <v>68</v>
      </c>
    </row>
    <row r="13" ht="43.5" customHeight="1">
      <c r="A13" s="46" t="s">
        <v>71</v>
      </c>
      <c r="B13" s="47"/>
      <c r="C13" s="47"/>
      <c r="D13" s="46" t="s">
        <v>63</v>
      </c>
      <c r="E13" s="46" t="s">
        <v>63</v>
      </c>
      <c r="F13" s="46" t="s">
        <v>64</v>
      </c>
      <c r="G13" s="46" t="s">
        <v>65</v>
      </c>
      <c r="H13" s="46" t="s">
        <v>66</v>
      </c>
      <c r="I13" s="46" t="s">
        <v>67</v>
      </c>
      <c r="J13" s="46" t="s">
        <v>68</v>
      </c>
    </row>
    <row r="14" ht="43.5" customHeight="1">
      <c r="A14" s="46" t="s">
        <v>72</v>
      </c>
      <c r="B14" s="47"/>
      <c r="C14" s="47"/>
      <c r="D14" s="46" t="s">
        <v>63</v>
      </c>
      <c r="E14" s="46" t="s">
        <v>63</v>
      </c>
      <c r="F14" s="46" t="s">
        <v>64</v>
      </c>
      <c r="G14" s="46" t="s">
        <v>65</v>
      </c>
      <c r="H14" s="46" t="s">
        <v>66</v>
      </c>
      <c r="I14" s="46" t="s">
        <v>67</v>
      </c>
      <c r="J14" s="46" t="s">
        <v>68</v>
      </c>
    </row>
    <row r="15" ht="17.25" customHeight="1">
      <c r="A15" s="41"/>
      <c r="B15" s="42" t="s">
        <v>73</v>
      </c>
      <c r="C15" s="43"/>
      <c r="D15" s="43"/>
      <c r="E15" s="43"/>
      <c r="F15" s="43"/>
      <c r="G15" s="43"/>
      <c r="H15" s="43"/>
      <c r="I15" s="43"/>
      <c r="J15" s="44"/>
    </row>
    <row r="16" ht="23.25" customHeight="1">
      <c r="A16" s="45"/>
      <c r="B16" s="45"/>
      <c r="C16" s="45"/>
      <c r="D16" s="45" t="s">
        <v>55</v>
      </c>
      <c r="E16" s="45" t="s">
        <v>74</v>
      </c>
      <c r="F16" s="48" t="s">
        <v>56</v>
      </c>
      <c r="G16" s="43"/>
      <c r="H16" s="43"/>
      <c r="I16" s="43"/>
      <c r="J16" s="44"/>
    </row>
    <row r="17" ht="43.5" customHeight="1">
      <c r="A17" s="46" t="s">
        <v>62</v>
      </c>
      <c r="B17" s="47"/>
      <c r="C17" s="47"/>
      <c r="D17" s="46" t="s">
        <v>75</v>
      </c>
      <c r="E17" s="46" t="s">
        <v>76</v>
      </c>
      <c r="F17" s="46" t="s">
        <v>75</v>
      </c>
      <c r="G17" s="49"/>
      <c r="H17" s="49"/>
      <c r="I17" s="49"/>
      <c r="J17" s="49"/>
    </row>
    <row r="18" ht="43.5" customHeight="1">
      <c r="A18" s="46" t="s">
        <v>69</v>
      </c>
      <c r="B18" s="47"/>
      <c r="C18" s="47"/>
      <c r="D18" s="46" t="s">
        <v>77</v>
      </c>
      <c r="E18" s="46" t="s">
        <v>78</v>
      </c>
      <c r="F18" s="46" t="s">
        <v>77</v>
      </c>
      <c r="G18" s="49"/>
      <c r="H18" s="49"/>
      <c r="I18" s="49"/>
      <c r="J18" s="49"/>
    </row>
    <row r="19" ht="43.5" customHeight="1">
      <c r="A19" s="46" t="s">
        <v>70</v>
      </c>
      <c r="B19" s="47"/>
      <c r="C19" s="47"/>
      <c r="D19" s="46" t="s">
        <v>79</v>
      </c>
      <c r="E19" s="46" t="s">
        <v>80</v>
      </c>
      <c r="F19" s="46" t="s">
        <v>79</v>
      </c>
      <c r="G19" s="49"/>
      <c r="H19" s="49"/>
      <c r="I19" s="49"/>
      <c r="J19" s="49"/>
    </row>
    <row r="20" ht="14.25" customHeight="1">
      <c r="A20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C1"/>
    <mergeCell ref="D1:E1"/>
    <mergeCell ref="F1:J1"/>
    <mergeCell ref="A2:J2"/>
    <mergeCell ref="A3:J3"/>
    <mergeCell ref="A4:J4"/>
    <mergeCell ref="A5:J5"/>
    <mergeCell ref="F19:J19"/>
    <mergeCell ref="A20:J20"/>
    <mergeCell ref="A6:J6"/>
    <mergeCell ref="A7:J7"/>
    <mergeCell ref="B8:J8"/>
    <mergeCell ref="B15:J15"/>
    <mergeCell ref="F16:J16"/>
    <mergeCell ref="F17:J17"/>
    <mergeCell ref="F18:J1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0" width="8.71"/>
  </cols>
  <sheetData>
    <row r="1" ht="116.25" customHeight="1">
      <c r="A1" s="1"/>
      <c r="F1" s="2" t="s">
        <v>81</v>
      </c>
    </row>
    <row r="2">
      <c r="A2" s="50" t="s">
        <v>82</v>
      </c>
      <c r="B2" s="51"/>
      <c r="C2" s="51"/>
      <c r="D2" s="51"/>
      <c r="E2" s="51"/>
      <c r="F2" s="51"/>
      <c r="G2" s="51"/>
      <c r="H2" s="51"/>
      <c r="I2" s="51"/>
    </row>
    <row r="3">
      <c r="A3" s="52" t="s">
        <v>83</v>
      </c>
      <c r="B3" s="51"/>
      <c r="C3" s="51"/>
      <c r="D3" s="51"/>
      <c r="E3" s="51"/>
      <c r="F3" s="51"/>
      <c r="G3" s="51"/>
      <c r="H3" s="51"/>
      <c r="I3" s="51"/>
    </row>
    <row r="4" ht="51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D1:E1"/>
    <mergeCell ref="F1:I1"/>
    <mergeCell ref="A2:I2"/>
    <mergeCell ref="A3:I3"/>
    <mergeCell ref="A4:I4"/>
    <mergeCell ref="A5:I32"/>
  </mergeCells>
  <hyperlinks>
    <hyperlink r:id="rId1" location="/share/topology/019bfafa-459d-73ae-93ed-0bd29d185289" ref="A3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16.25" customHeight="1">
      <c r="A1" s="1"/>
      <c r="D1" s="1"/>
      <c r="F1" s="2" t="s">
        <v>84</v>
      </c>
    </row>
    <row r="2" ht="14.25" customHeight="1">
      <c r="A2" s="1" t="s">
        <v>1</v>
      </c>
    </row>
    <row r="3" ht="45.75" customHeight="1">
      <c r="A3" s="53" t="s">
        <v>51</v>
      </c>
    </row>
    <row r="4" ht="309.0" customHeight="1"/>
    <row r="5" ht="43.5" customHeight="1"/>
    <row r="6" ht="14.25" customHeight="1">
      <c r="A6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D1:E1"/>
    <mergeCell ref="A2:F2"/>
    <mergeCell ref="A3:F3"/>
    <mergeCell ref="A4:F4"/>
    <mergeCell ref="A5:F5"/>
    <mergeCell ref="A6:F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16.25" customHeight="1">
      <c r="A1" s="1"/>
      <c r="D1" s="1"/>
      <c r="F1" s="2" t="s">
        <v>85</v>
      </c>
    </row>
    <row r="2" ht="14.25" customHeight="1">
      <c r="A2" s="1" t="s">
        <v>1</v>
      </c>
    </row>
    <row r="3" ht="45.75" customHeight="1">
      <c r="A3" s="53" t="s">
        <v>51</v>
      </c>
    </row>
    <row r="4" ht="309.0" customHeight="1"/>
    <row r="5" ht="43.5" customHeight="1"/>
    <row r="6" ht="14.25" customHeight="1">
      <c r="A6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D1:E1"/>
    <mergeCell ref="A2:F2"/>
    <mergeCell ref="A3:F3"/>
    <mergeCell ref="A4:F4"/>
    <mergeCell ref="A5:F5"/>
    <mergeCell ref="A6:F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16.25" customHeight="1">
      <c r="A1" s="1"/>
      <c r="D1" s="1"/>
      <c r="F1" s="2" t="s">
        <v>86</v>
      </c>
    </row>
    <row r="2" ht="14.25" customHeight="1">
      <c r="A2" s="1" t="s">
        <v>1</v>
      </c>
    </row>
    <row r="3" ht="45.75" customHeight="1">
      <c r="A3" s="53" t="s">
        <v>51</v>
      </c>
    </row>
    <row r="4" ht="309.0" customHeight="1"/>
    <row r="5" ht="43.5" customHeight="1"/>
    <row r="6" ht="14.25" customHeight="1">
      <c r="A6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D1:E1"/>
    <mergeCell ref="A2:F2"/>
    <mergeCell ref="A3:F3"/>
    <mergeCell ref="A4:F4"/>
    <mergeCell ref="A5:F5"/>
    <mergeCell ref="A6:F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16.25" customHeight="1">
      <c r="A1" s="1"/>
      <c r="D1" s="1"/>
      <c r="F1" s="2" t="s">
        <v>87</v>
      </c>
    </row>
    <row r="2" ht="14.25" customHeight="1">
      <c r="A2" s="1" t="s">
        <v>1</v>
      </c>
    </row>
    <row r="3" ht="45.75" customHeight="1">
      <c r="A3" s="53" t="s">
        <v>51</v>
      </c>
    </row>
    <row r="4" ht="25.5" customHeight="1"/>
    <row r="5" ht="309.0" customHeight="1"/>
    <row r="6" ht="14.25" customHeight="1">
      <c r="A6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D1:E1"/>
    <mergeCell ref="A2:F2"/>
    <mergeCell ref="A3:F3"/>
    <mergeCell ref="A4:F4"/>
    <mergeCell ref="A5:F5"/>
    <mergeCell ref="A6:F6"/>
  </mergeCells>
  <printOptions/>
  <pageMargins bottom="0.75" footer="0.0" header="0.0" left="0.7" right="0.7" top="0.75"/>
  <pageSetup orientation="landscape"/>
  <drawing r:id="rId1"/>
</worksheet>
</file>